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ento_zošit" defaultThemeVersion="166925"/>
  <mc:AlternateContent xmlns:mc="http://schemas.openxmlformats.org/markup-compatibility/2006">
    <mc:Choice Requires="x15">
      <x15ac:absPath xmlns:x15ac="http://schemas.microsoft.com/office/spreadsheetml/2010/11/ac" url="C:\Users\Vlado\Documents\marek\ziadost\"/>
    </mc:Choice>
  </mc:AlternateContent>
  <xr:revisionPtr revIDLastSave="0" documentId="13_ncr:1_{56F8FC76-C8F3-44BB-A3C5-E002ECB6C0C4}" xr6:coauthVersionLast="45" xr6:coauthVersionMax="45" xr10:uidLastSave="{00000000-0000-0000-0000-000000000000}"/>
  <bookViews>
    <workbookView xWindow="-120" yWindow="-120" windowWidth="20730" windowHeight="11160" tabRatio="563" xr2:uid="{00000000-000D-0000-FFFF-FFFF00000000}"/>
  </bookViews>
  <sheets>
    <sheet name="Sklad" sheetId="1" r:id="rId1"/>
    <sheet name="Zostatky" sheetId="4" r:id="rId2"/>
  </sheets>
  <functionGroups builtInGroupCount="19"/>
  <definedNames>
    <definedName name="_xlnm._FilterDatabase" localSheetId="0" hidden="1">Sklad!$A$1:$K$4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4" l="1"/>
  <c r="H4" i="4"/>
  <c r="E4" i="4"/>
  <c r="N6" i="1"/>
  <c r="K6" i="1"/>
  <c r="H6" i="1"/>
  <c r="N5" i="1"/>
  <c r="K5" i="1"/>
  <c r="H5" i="1"/>
  <c r="M3" i="1"/>
  <c r="L3" i="1"/>
  <c r="J3" i="1"/>
  <c r="I3" i="1"/>
  <c r="G3" i="1"/>
  <c r="F3" i="1"/>
  <c r="E3" i="1"/>
  <c r="D3" i="1"/>
  <c r="K3" i="1"/>
  <c r="N3" i="1" l="1"/>
  <c r="H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Marek</author>
    <author>Marika</author>
    <author>Vlado</author>
  </authors>
  <commentList>
    <comment ref="B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Ikony:
</t>
        </r>
        <r>
          <rPr>
            <b/>
            <sz val="9"/>
            <color indexed="81"/>
            <rFont val="Tahoma"/>
            <family val="2"/>
            <charset val="238"/>
          </rPr>
          <t>Rok</t>
        </r>
        <r>
          <rPr>
            <sz val="9"/>
            <color indexed="81"/>
            <rFont val="Tahoma"/>
            <family val="2"/>
          </rPr>
          <t xml:space="preserve"> - spustí sa vytvorenie skladu na nový rok ako nový prázdny dokument
</t>
        </r>
        <r>
          <rPr>
            <b/>
            <sz val="9"/>
            <color indexed="81"/>
            <rFont val="Tahoma"/>
            <family val="2"/>
            <charset val="238"/>
          </rPr>
          <t>Faktúra</t>
        </r>
        <r>
          <rPr>
            <sz val="9"/>
            <color indexed="81"/>
            <rFont val="Tahoma"/>
            <family val="2"/>
          </rPr>
          <t xml:space="preserve"> - spustí pridanie nového záznamu
</t>
        </r>
        <r>
          <rPr>
            <b/>
            <sz val="9"/>
            <color indexed="81"/>
            <rFont val="Tahoma"/>
            <family val="2"/>
            <charset val="238"/>
          </rPr>
          <t>Koby (Pes)</t>
        </r>
        <r>
          <rPr>
            <sz val="9"/>
            <color indexed="81"/>
            <rFont val="Tahoma"/>
            <family val="2"/>
          </rPr>
          <t xml:space="preserve"> - slúži ako revízia zadaných hodnôt. Zobrazí všekty hodnoty v riadku označenej bunky. Ponúka možnosť pridať poznámku alebo aj OPRAVIŤ celý záznam.
</t>
        </r>
        <r>
          <rPr>
            <b/>
            <sz val="9"/>
            <color indexed="81"/>
            <rFont val="Tahoma"/>
            <family val="2"/>
            <charset val="238"/>
          </rPr>
          <t>Strom</t>
        </r>
        <r>
          <rPr>
            <sz val="9"/>
            <color indexed="81"/>
            <rFont val="Tahoma"/>
            <family val="2"/>
          </rPr>
          <t xml:space="preserve"> - pridá novú drevinu
</t>
        </r>
        <r>
          <rPr>
            <b/>
            <sz val="9"/>
            <color indexed="81"/>
            <rFont val="Tahoma"/>
            <family val="2"/>
            <charset val="238"/>
          </rPr>
          <t>Kladka</t>
        </r>
        <r>
          <rPr>
            <sz val="9"/>
            <color indexed="81"/>
            <rFont val="Tahoma"/>
            <family val="2"/>
          </rPr>
          <t xml:space="preserve"> - odomkne hárok pre základné úpravy hodnôt. Pre úplne odomknutie klikni na </t>
        </r>
        <r>
          <rPr>
            <sz val="9"/>
            <color indexed="81"/>
            <rFont val="Tahoma"/>
            <family val="2"/>
            <charset val="238"/>
          </rPr>
          <t>"Revízie"</t>
        </r>
        <r>
          <rPr>
            <sz val="9"/>
            <color indexed="81"/>
            <rFont val="Tahoma"/>
            <family val="2"/>
          </rPr>
          <t xml:space="preserve"> &gt; "Úplne odomknutie hárka"
</t>
        </r>
        <r>
          <rPr>
            <b/>
            <sz val="9"/>
            <color indexed="81"/>
            <rFont val="Tahoma"/>
            <family val="2"/>
            <charset val="238"/>
          </rPr>
          <t>Slnko/Dážď/Mrak</t>
        </r>
        <r>
          <rPr>
            <sz val="9"/>
            <color indexed="81"/>
            <rFont val="Tahoma"/>
            <family val="2"/>
          </rPr>
          <t xml:space="preserve"> - usporiada (prepočíta) hárok a skontroluje tieto chyby:
  1. či sú všekty dátumy v správnom tvare
  2. či niekde v riadku nie je zadaná hodnota predaja a zároveň hodnota nákupu.
  3. či v niektorom riadku nechýba Spoločnosť
  4. či nie je zadaný duplikátny záznam
  5. upozorní na záznamy s poznámkami</t>
        </r>
      </text>
    </comment>
    <comment ref="B3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Ikony:
</t>
        </r>
        <r>
          <rPr>
            <b/>
            <sz val="9"/>
            <color indexed="81"/>
            <rFont val="Tahoma"/>
            <family val="2"/>
          </rPr>
          <t>Rok</t>
        </r>
        <r>
          <rPr>
            <sz val="9"/>
            <color indexed="81"/>
            <rFont val="Tahoma"/>
            <family val="2"/>
          </rPr>
          <t xml:space="preserve"> - spustí sa vytvorenie skladu na nový rok ako nový prázdny dokument
</t>
        </r>
        <r>
          <rPr>
            <b/>
            <sz val="9"/>
            <color indexed="81"/>
            <rFont val="Tahoma"/>
            <family val="2"/>
          </rPr>
          <t>Faktúra</t>
        </r>
        <r>
          <rPr>
            <sz val="9"/>
            <color indexed="81"/>
            <rFont val="Tahoma"/>
            <family val="2"/>
          </rPr>
          <t xml:space="preserve"> - spustí pridanie nového záznamu
</t>
        </r>
        <r>
          <rPr>
            <b/>
            <sz val="9"/>
            <color indexed="81"/>
            <rFont val="Tahoma"/>
            <family val="2"/>
          </rPr>
          <t xml:space="preserve">Koby (pes) </t>
        </r>
        <r>
          <rPr>
            <sz val="9"/>
            <color indexed="81"/>
            <rFont val="Tahoma"/>
            <family val="2"/>
          </rPr>
          <t xml:space="preserve">- slúži ako revízia zadaných hodnôt. Zobrazí všekty hodnoty v riadku označenej bunky. Ponúka možnosť pridať poznámku alebo aj OPRAVIŤ celý záznam.
</t>
        </r>
        <r>
          <rPr>
            <b/>
            <sz val="9"/>
            <color indexed="81"/>
            <rFont val="Tahoma"/>
            <family val="2"/>
          </rPr>
          <t>Strom</t>
        </r>
        <r>
          <rPr>
            <sz val="9"/>
            <color indexed="81"/>
            <rFont val="Tahoma"/>
            <family val="2"/>
          </rPr>
          <t xml:space="preserve"> - pridá novú drevinu
</t>
        </r>
        <r>
          <rPr>
            <b/>
            <sz val="9"/>
            <color indexed="81"/>
            <rFont val="Tahoma"/>
            <family val="2"/>
          </rPr>
          <t>Kladka</t>
        </r>
        <r>
          <rPr>
            <sz val="9"/>
            <color indexed="81"/>
            <rFont val="Tahoma"/>
            <family val="2"/>
          </rPr>
          <t xml:space="preserve"> - odomkne hárok pre základné úpravy hodnôt. Pre úplne odomknutie klikni na "Revízie" &gt; "Úplne odomknutie hárka"
</t>
        </r>
        <r>
          <rPr>
            <b/>
            <sz val="9"/>
            <color indexed="81"/>
            <rFont val="Tahoma"/>
            <family val="2"/>
          </rPr>
          <t xml:space="preserve">Slnko/Dážď/Mrak </t>
        </r>
        <r>
          <rPr>
            <sz val="9"/>
            <color indexed="81"/>
            <rFont val="Tahoma"/>
            <family val="2"/>
          </rPr>
          <t>- usporiada (prepočíta) hárok a skontroluje tieto chyby:
  1. či sú všekty dátumy v správnom tvare
  2. či niekde v riadku nie je zadaná hodnota predaja a zároveň hodnota nákupu.
  3. či v niektorom riadku nechýba Spoločnosť
  4. či nie je zadaný duplikátny záznam
  5. upozorní na záznamy s poznámkami</t>
        </r>
      </text>
    </comment>
    <comment ref="D3" authorId="1" shapeId="0" xr:uid="{00000000-0006-0000-0000-000003000000}">
      <text>
        <r>
          <rPr>
            <sz val="9"/>
            <color indexed="81"/>
            <rFont val="Tahoma"/>
            <family val="2"/>
          </rPr>
          <t xml:space="preserve">Ráta súcet všetkých v hodnôt v tomto stlpci
</t>
        </r>
      </text>
    </comment>
    <comment ref="E3" authorId="1" shapeId="0" xr:uid="{00000000-0006-0000-0000-000004000000}">
      <text>
        <r>
          <rPr>
            <sz val="9"/>
            <color indexed="81"/>
            <rFont val="Tahoma"/>
            <family val="2"/>
            <charset val="238"/>
          </rPr>
          <t xml:space="preserve">Ráta súčet všetkých v hodnôt v tomto stĺpci
</t>
        </r>
      </text>
    </comment>
    <comment ref="F3" authorId="1" shapeId="0" xr:uid="{00000000-0006-0000-0000-000005000000}">
      <text>
        <r>
          <rPr>
            <sz val="9"/>
            <color indexed="81"/>
            <rFont val="Tahoma"/>
            <family val="2"/>
            <charset val="238"/>
          </rPr>
          <t>Ráta súčet všetkých v hodnôt v tomto stĺpci</t>
        </r>
        <r>
          <rPr>
            <b/>
            <sz val="9"/>
            <color indexed="81"/>
            <rFont val="Tahoma"/>
            <family val="2"/>
            <charset val="238"/>
          </rPr>
          <t xml:space="preserve">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G3" authorId="1" shapeId="0" xr:uid="{00000000-0006-0000-0000-000006000000}">
      <text>
        <r>
          <rPr>
            <sz val="9"/>
            <color indexed="81"/>
            <rFont val="Tahoma"/>
            <family val="2"/>
            <charset val="238"/>
          </rPr>
          <t>Ráta súčet všetkých v hodnôt v tomto stĺpci</t>
        </r>
        <r>
          <rPr>
            <b/>
            <sz val="9"/>
            <color indexed="81"/>
            <rFont val="Tahoma"/>
            <family val="2"/>
            <charset val="238"/>
          </rPr>
          <t xml:space="preserve">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H3" authorId="1" shapeId="0" xr:uid="{00000000-0006-0000-0000-000007000000}">
      <text>
        <r>
          <rPr>
            <sz val="9"/>
            <color indexed="81"/>
            <rFont val="Tahoma"/>
            <family val="2"/>
            <charset val="238"/>
          </rPr>
          <t xml:space="preserve">Toto je zostatok ktorý je vyrátaný k poslednému dátumu v tabulke.
</t>
        </r>
      </text>
    </comment>
    <comment ref="I3" authorId="1" shapeId="0" xr:uid="{00000000-0006-0000-0000-000008000000}">
      <text>
        <r>
          <rPr>
            <sz val="9"/>
            <color indexed="81"/>
            <rFont val="Tahoma"/>
            <family val="2"/>
            <charset val="238"/>
          </rPr>
          <t>Ráta súčet všetkých v hodnôt v tomto stĺpci</t>
        </r>
        <r>
          <rPr>
            <b/>
            <sz val="9"/>
            <color indexed="81"/>
            <rFont val="Tahoma"/>
            <family val="2"/>
            <charset val="238"/>
          </rPr>
          <t xml:space="preserve">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3" authorId="1" shapeId="0" xr:uid="{00000000-0006-0000-0000-000009000000}">
      <text>
        <r>
          <rPr>
            <sz val="9"/>
            <color indexed="81"/>
            <rFont val="Tahoma"/>
            <family val="2"/>
            <charset val="238"/>
          </rPr>
          <t>Ráta súčet všetkých v hodnôt v tomto stĺpci</t>
        </r>
        <r>
          <rPr>
            <b/>
            <sz val="9"/>
            <color indexed="81"/>
            <rFont val="Tahoma"/>
            <family val="2"/>
            <charset val="238"/>
          </rPr>
          <t xml:space="preserve">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K3" authorId="1" shapeId="0" xr:uid="{00000000-0006-0000-0000-00000A000000}">
      <text>
        <r>
          <rPr>
            <sz val="9"/>
            <color indexed="81"/>
            <rFont val="Tahoma"/>
            <family val="2"/>
            <charset val="238"/>
          </rPr>
          <t xml:space="preserve">Toto je zostatok ktorý je vyrátaný k poslednému dátumu v tabulke.
</t>
        </r>
      </text>
    </comment>
    <comment ref="L3" authorId="1" shapeId="0" xr:uid="{46CEE3A1-3CF8-4C9E-91A9-7F5FBCA65B2A}">
      <text>
        <r>
          <rPr>
            <sz val="9"/>
            <color indexed="81"/>
            <rFont val="Tahoma"/>
            <family val="2"/>
            <charset val="238"/>
          </rPr>
          <t>Ráta súčet všetkých v hodnôt v tomto stĺpci</t>
        </r>
        <r>
          <rPr>
            <b/>
            <sz val="9"/>
            <color indexed="81"/>
            <rFont val="Tahoma"/>
            <family val="2"/>
            <charset val="238"/>
          </rPr>
          <t xml:space="preserve">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M3" authorId="1" shapeId="0" xr:uid="{FB5B5B6F-8B64-410F-AF0C-E4577EDCEFD5}">
      <text>
        <r>
          <rPr>
            <sz val="9"/>
            <color indexed="81"/>
            <rFont val="Tahoma"/>
            <family val="2"/>
            <charset val="238"/>
          </rPr>
          <t>Ráta súčet všetkých v hodnôt v tomto stĺpci</t>
        </r>
        <r>
          <rPr>
            <b/>
            <sz val="9"/>
            <color indexed="81"/>
            <rFont val="Tahoma"/>
            <family val="2"/>
            <charset val="238"/>
          </rPr>
          <t xml:space="preserve">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N3" authorId="1" shapeId="0" xr:uid="{512D98BF-E656-4BBD-86C1-23CAE6E07571}">
      <text>
        <r>
          <rPr>
            <sz val="9"/>
            <color indexed="81"/>
            <rFont val="Tahoma"/>
            <family val="2"/>
            <charset val="238"/>
          </rPr>
          <t xml:space="preserve">Toto je zostatok ktorý je vyrátaný k poslednému dátumu v tabulke.
</t>
        </r>
      </text>
    </comment>
    <comment ref="B6" authorId="2" shapeId="0" xr:uid="{5C89749A-7508-4FAB-A5B1-1A3B9BC3B76C}">
      <text>
        <r>
          <rPr>
            <sz val="9"/>
            <color indexed="81"/>
            <rFont val="Segoe UI"/>
            <family val="2"/>
            <charset val="238"/>
          </rPr>
          <t>Nejaka poznamka</t>
        </r>
      </text>
    </comment>
  </commentList>
</comments>
</file>

<file path=xl/sharedStrings.xml><?xml version="1.0" encoding="utf-8"?>
<sst xmlns="http://schemas.openxmlformats.org/spreadsheetml/2006/main" count="31" uniqueCount="22">
  <si>
    <t>Dátum</t>
  </si>
  <si>
    <t>Spoločnosť</t>
  </si>
  <si>
    <t>Minulý rok</t>
  </si>
  <si>
    <t>Stĺpcové súčty ---&gt;</t>
  </si>
  <si>
    <t>Borovica</t>
  </si>
  <si>
    <t>Prenos</t>
  </si>
  <si>
    <t>Listnatá vláknina</t>
  </si>
  <si>
    <t>Javor</t>
  </si>
  <si>
    <t>č. faktúry</t>
  </si>
  <si>
    <t>Celkový zostatok:</t>
  </si>
  <si>
    <t>Listnaté dreviny</t>
  </si>
  <si>
    <t>Ihličnaté dreviny</t>
  </si>
  <si>
    <r>
      <t>Celkový nákup</t>
    </r>
    <r>
      <rPr>
        <sz val="11"/>
        <color theme="4" tint="0.79998168889431442"/>
        <rFont val="Calibri"/>
        <family val="2"/>
        <scheme val="minor"/>
      </rPr>
      <t xml:space="preserve"> (v €)</t>
    </r>
  </si>
  <si>
    <r>
      <t>Celkový predaj</t>
    </r>
    <r>
      <rPr>
        <sz val="11"/>
        <color theme="9" tint="0.59999389629810485"/>
        <rFont val="Calibri"/>
        <family val="2"/>
        <scheme val="minor"/>
      </rPr>
      <t xml:space="preserve"> (v €)</t>
    </r>
  </si>
  <si>
    <r>
      <rPr>
        <b/>
        <sz val="11"/>
        <color theme="4" tint="-0.499984740745262"/>
        <rFont val="Calibri"/>
        <family val="2"/>
        <scheme val="minor"/>
      </rPr>
      <t>Nákup</t>
    </r>
    <r>
      <rPr>
        <sz val="11"/>
        <color theme="4" tint="-0.499984740745262"/>
        <rFont val="Calibri"/>
        <family val="2"/>
        <scheme val="minor"/>
      </rPr>
      <t xml:space="preserve"> (v m</t>
    </r>
    <r>
      <rPr>
        <vertAlign val="superscript"/>
        <sz val="11"/>
        <color theme="4" tint="-0.499984740745262"/>
        <rFont val="Calibri"/>
        <family val="2"/>
        <scheme val="minor"/>
      </rPr>
      <t>3</t>
    </r>
    <r>
      <rPr>
        <sz val="11"/>
        <color theme="4" tint="-0.499984740745262"/>
        <rFont val="Calibri"/>
        <family val="2"/>
        <scheme val="minor"/>
      </rPr>
      <t>)</t>
    </r>
  </si>
  <si>
    <r>
      <rPr>
        <b/>
        <sz val="11"/>
        <color theme="9" tint="-0.499984740745262"/>
        <rFont val="Calibri"/>
        <family val="2"/>
        <scheme val="minor"/>
      </rPr>
      <t>Predaj</t>
    </r>
    <r>
      <rPr>
        <sz val="11"/>
        <color theme="9" tint="-0.499984740745262"/>
        <rFont val="Calibri"/>
        <family val="2"/>
        <scheme val="minor"/>
      </rPr>
      <t xml:space="preserve"> (v m</t>
    </r>
    <r>
      <rPr>
        <vertAlign val="superscript"/>
        <sz val="11"/>
        <color theme="9" tint="-0.499984740745262"/>
        <rFont val="Calibri"/>
        <family val="2"/>
        <scheme val="minor"/>
      </rPr>
      <t>3</t>
    </r>
    <r>
      <rPr>
        <sz val="11"/>
        <color theme="9" tint="-0.499984740745262"/>
        <rFont val="Calibri"/>
        <family val="2"/>
        <scheme val="minor"/>
      </rPr>
      <t>)</t>
    </r>
  </si>
  <si>
    <r>
      <rPr>
        <b/>
        <sz val="11"/>
        <color rgb="FF672F09"/>
        <rFont val="Calibri"/>
        <family val="2"/>
        <scheme val="minor"/>
      </rPr>
      <t>Zostatok</t>
    </r>
    <r>
      <rPr>
        <sz val="11"/>
        <color rgb="FF672F09"/>
        <rFont val="Calibri"/>
        <family val="2"/>
        <scheme val="minor"/>
      </rPr>
      <t xml:space="preserve"> (v m</t>
    </r>
    <r>
      <rPr>
        <vertAlign val="superscript"/>
        <sz val="11"/>
        <color rgb="FF672F09"/>
        <rFont val="Calibri"/>
        <family val="2"/>
        <scheme val="minor"/>
      </rPr>
      <t>3</t>
    </r>
    <r>
      <rPr>
        <sz val="11"/>
        <color rgb="FF672F09"/>
        <rFont val="Calibri"/>
        <family val="2"/>
        <scheme val="minor"/>
      </rPr>
      <t>)</t>
    </r>
  </si>
  <si>
    <t>2020</t>
  </si>
  <si>
    <t>firma 1</t>
  </si>
  <si>
    <t>1548357</t>
  </si>
  <si>
    <t>213142</t>
  </si>
  <si>
    <t>firma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</si>
</sst>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##,##0.00&quot; m³&quot;;[Red]\-##,##0.00&quot; m³&quot;;0&quot; m³&quot;;[Red]General"/>
    <numFmt numFmtId="166" formatCode="##,##0.00&quot; €&quot;;\-##,##0.00&quot; €&quot;;0&quot; €&quot;;[Red]General"/>
    <numFmt numFmtId="167" formatCode="[$-41B]d\.\ mmmm\ yyyy;@"/>
  </numFmts>
  <fonts count="44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0"/>
      <color theme="5" tint="-0.499984740745262"/>
      <name val="Calibri"/>
      <family val="2"/>
      <scheme val="minor"/>
    </font>
    <font>
      <b/>
      <sz val="11"/>
      <color theme="5" tint="0.59999389629810485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b/>
      <sz val="12"/>
      <color theme="0" tint="-0.14999847407452621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0.59999389629810485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vertAlign val="superscript"/>
      <sz val="11"/>
      <color theme="4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vertAlign val="superscript"/>
      <sz val="11"/>
      <color theme="9" tint="-0.499984740745262"/>
      <name val="Calibri"/>
      <family val="2"/>
      <scheme val="minor"/>
    </font>
    <font>
      <sz val="11"/>
      <color rgb="FF672F09"/>
      <name val="Calibri"/>
      <family val="2"/>
      <scheme val="minor"/>
    </font>
    <font>
      <b/>
      <sz val="11"/>
      <color rgb="FF672F09"/>
      <name val="Calibri"/>
      <family val="2"/>
      <scheme val="minor"/>
    </font>
    <font>
      <vertAlign val="superscript"/>
      <sz val="11"/>
      <color rgb="FF672F0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1"/>
      <color rgb="FF7030A0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i/>
      <sz val="11"/>
      <color rgb="FF000000"/>
      <name val="Calibri"/>
      <family val="2"/>
      <charset val="238"/>
      <scheme val="minor"/>
    </font>
    <font>
      <b/>
      <i/>
      <sz val="1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b/>
      <sz val="10"/>
      <color theme="4" tint="-0.499984740745262"/>
      <name val="Calibri"/>
      <family val="2"/>
      <charset val="238"/>
      <scheme val="minor"/>
    </font>
    <font>
      <b/>
      <sz val="10"/>
      <color theme="9" tint="-0.499984740745262"/>
      <name val="Calibri"/>
      <family val="2"/>
      <charset val="238"/>
      <scheme val="minor"/>
    </font>
    <font>
      <b/>
      <sz val="10"/>
      <color theme="5" tint="-0.499984740745262"/>
      <name val="Calibri"/>
      <family val="2"/>
      <charset val="238"/>
      <scheme val="minor"/>
    </font>
    <font>
      <sz val="11"/>
      <color theme="4" tint="-0.499984740745262"/>
      <name val="Calibri"/>
      <family val="2"/>
      <charset val="238"/>
      <scheme val="minor"/>
    </font>
    <font>
      <sz val="11"/>
      <color theme="9" tint="-0.499984740745262"/>
      <name val="Calibri"/>
      <family val="2"/>
      <charset val="238"/>
      <scheme val="minor"/>
    </font>
    <font>
      <sz val="11"/>
      <color theme="5" tint="-0.499984740745262"/>
      <name val="Calibri"/>
      <family val="2"/>
      <charset val="238"/>
      <scheme val="minor"/>
    </font>
    <font>
      <sz val="9"/>
      <color indexed="81"/>
      <name val="Segoe UI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5ECF7"/>
        <bgColor indexed="64"/>
      </patternFill>
    </fill>
    <fill>
      <patternFill patternType="darkDown">
        <fgColor theme="5" tint="0.79995117038483843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EEAB0"/>
        <bgColor indexed="64"/>
      </patternFill>
    </fill>
    <fill>
      <patternFill patternType="solid">
        <fgColor rgb="FF4AF505"/>
        <bgColor indexed="64"/>
      </patternFill>
    </fill>
    <fill>
      <patternFill patternType="solid">
        <fgColor theme="9" tint="-0.249977111117893"/>
        <bgColor indexed="64"/>
      </patternFill>
    </fill>
  </fills>
  <borders count="28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 style="medium">
        <color theme="5" tint="0.39994506668294322"/>
      </left>
      <right style="medium">
        <color theme="5" tint="0.39994506668294322"/>
      </right>
      <top/>
      <bottom style="medium">
        <color theme="5"/>
      </bottom>
      <diagonal/>
    </border>
    <border>
      <left style="medium">
        <color theme="5" tint="0.39994506668294322"/>
      </left>
      <right style="medium">
        <color theme="5" tint="0.39994506668294322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theme="5" tint="0.39994506668294322"/>
      </left>
      <right style="medium">
        <color theme="5" tint="0.39994506668294322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5" tint="0.39994506668294322"/>
      </left>
      <right style="medium">
        <color theme="5" tint="0.39994506668294322"/>
      </right>
      <top style="thin">
        <color theme="2" tint="-0.24994659260841701"/>
      </top>
      <bottom style="medium">
        <color theme="5"/>
      </bottom>
      <diagonal/>
    </border>
    <border>
      <left style="medium">
        <color theme="5" tint="0.39994506668294322"/>
      </left>
      <right style="medium">
        <color theme="5" tint="0.39994506668294322"/>
      </right>
      <top/>
      <bottom/>
      <diagonal/>
    </border>
    <border>
      <left style="thin">
        <color theme="2" tint="-0.24994659260841701"/>
      </left>
      <right/>
      <top/>
      <bottom/>
      <diagonal/>
    </border>
    <border>
      <left style="thin">
        <color theme="2" tint="-0.24994659260841701"/>
      </left>
      <right/>
      <top style="medium">
        <color theme="5"/>
      </top>
      <bottom/>
      <diagonal/>
    </border>
    <border>
      <left style="medium">
        <color theme="4" tint="-0.24994659260841701"/>
      </left>
      <right style="medium">
        <color theme="9" tint="-0.24994659260841701"/>
      </right>
      <top style="medium">
        <color theme="5"/>
      </top>
      <bottom/>
      <diagonal/>
    </border>
    <border>
      <left/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 style="medium">
        <color theme="5" tint="-0.499984740745262"/>
      </right>
      <top style="medium">
        <color theme="5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 style="thin">
        <color theme="2" tint="-0.24994659260841701"/>
      </left>
      <right style="medium">
        <color theme="5" tint="-0.499984740745262"/>
      </right>
      <top style="thin">
        <color theme="2" tint="-0.24994659260841701"/>
      </top>
      <bottom/>
      <diagonal/>
    </border>
    <border>
      <left style="medium">
        <color theme="5" tint="0.39994506668294322"/>
      </left>
      <right style="medium">
        <color theme="5" tint="0.39994506668294322"/>
      </right>
      <top style="thin">
        <color theme="2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/>
      <top style="thick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ck">
        <color theme="2" tint="-0.24994659260841701"/>
      </top>
      <bottom style="thin">
        <color theme="2" tint="-0.24994659260841701"/>
      </bottom>
      <diagonal/>
    </border>
    <border>
      <left style="medium">
        <color theme="4" tint="-0.24994659260841701"/>
      </left>
      <right style="medium">
        <color theme="9" tint="-0.24994659260841701"/>
      </right>
      <top style="thick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ck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medium">
        <color theme="5" tint="-0.499984740745262"/>
      </right>
      <top style="thick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/>
      <top/>
      <bottom style="thin">
        <color theme="2" tint="-0.24994659260841701"/>
      </bottom>
      <diagonal/>
    </border>
    <border>
      <left style="medium">
        <color theme="4" tint="-0.24994659260841701"/>
      </left>
      <right style="medium">
        <color theme="9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 style="medium">
        <color theme="5" tint="-0.499984740745262"/>
      </right>
      <top/>
      <bottom style="thin">
        <color theme="2" tint="-0.24994659260841701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6" fillId="0" borderId="0" xfId="0" applyFont="1"/>
    <xf numFmtId="165" fontId="7" fillId="0" borderId="0" xfId="0" applyNumberFormat="1" applyFont="1" applyAlignment="1">
      <alignment horizontal="center"/>
    </xf>
    <xf numFmtId="0" fontId="8" fillId="9" borderId="0" xfId="0" applyFont="1" applyFill="1" applyAlignment="1">
      <alignment horizontal="center"/>
    </xf>
    <xf numFmtId="165" fontId="9" fillId="9" borderId="0" xfId="0" applyNumberFormat="1" applyFont="1" applyFill="1" applyAlignment="1">
      <alignment horizontal="center"/>
    </xf>
    <xf numFmtId="0" fontId="10" fillId="10" borderId="0" xfId="0" applyFont="1" applyFill="1" applyAlignment="1">
      <alignment horizontal="center"/>
    </xf>
    <xf numFmtId="165" fontId="11" fillId="10" borderId="0" xfId="0" applyNumberFormat="1" applyFont="1" applyFill="1" applyAlignment="1">
      <alignment horizontal="center"/>
    </xf>
    <xf numFmtId="0" fontId="1" fillId="0" borderId="1" xfId="0" applyFont="1" applyBorder="1" applyProtection="1"/>
    <xf numFmtId="0" fontId="17" fillId="6" borderId="7" xfId="0" applyFont="1" applyFill="1" applyBorder="1" applyProtection="1"/>
    <xf numFmtId="0" fontId="20" fillId="6" borderId="7" xfId="0" applyFont="1" applyFill="1" applyBorder="1" applyProtection="1"/>
    <xf numFmtId="0" fontId="23" fillId="6" borderId="7" xfId="0" applyFont="1" applyFill="1" applyBorder="1" applyProtection="1"/>
    <xf numFmtId="49" fontId="33" fillId="2" borderId="8" xfId="0" applyNumberFormat="1" applyFont="1" applyFill="1" applyBorder="1" applyAlignment="1" applyProtection="1">
      <alignment horizontal="center"/>
    </xf>
    <xf numFmtId="167" fontId="26" fillId="2" borderId="8" xfId="0" applyNumberFormat="1" applyFont="1" applyFill="1" applyBorder="1" applyAlignment="1" applyProtection="1">
      <alignment horizontal="right"/>
    </xf>
    <xf numFmtId="49" fontId="26" fillId="2" borderId="8" xfId="0" applyNumberFormat="1" applyFont="1" applyFill="1" applyBorder="1" applyAlignment="1" applyProtection="1">
      <alignment horizontal="right"/>
    </xf>
    <xf numFmtId="166" fontId="27" fillId="2" borderId="9" xfId="0" applyNumberFormat="1" applyFont="1" applyFill="1" applyBorder="1" applyAlignment="1" applyProtection="1">
      <alignment horizontal="center"/>
    </xf>
    <xf numFmtId="166" fontId="28" fillId="2" borderId="9" xfId="0" applyNumberFormat="1" applyFont="1" applyFill="1" applyBorder="1" applyAlignment="1" applyProtection="1">
      <alignment horizontal="center"/>
    </xf>
    <xf numFmtId="165" fontId="37" fillId="2" borderId="5" xfId="0" applyNumberFormat="1" applyFont="1" applyFill="1" applyBorder="1" applyAlignment="1" applyProtection="1">
      <alignment horizontal="center"/>
    </xf>
    <xf numFmtId="165" fontId="38" fillId="2" borderId="5" xfId="0" applyNumberFormat="1" applyFont="1" applyFill="1" applyBorder="1" applyAlignment="1" applyProtection="1">
      <alignment horizontal="center"/>
    </xf>
    <xf numFmtId="165" fontId="39" fillId="2" borderId="9" xfId="0" applyNumberFormat="1" applyFont="1" applyFill="1" applyBorder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right"/>
    </xf>
    <xf numFmtId="49" fontId="29" fillId="0" borderId="4" xfId="0" applyNumberFormat="1" applyFont="1" applyBorder="1" applyAlignment="1" applyProtection="1">
      <alignment horizontal="right"/>
    </xf>
    <xf numFmtId="167" fontId="30" fillId="0" borderId="4" xfId="0" applyNumberFormat="1" applyFont="1" applyBorder="1" applyAlignment="1" applyProtection="1">
      <alignment horizontal="left"/>
    </xf>
    <xf numFmtId="49" fontId="35" fillId="3" borderId="10" xfId="0" applyNumberFormat="1" applyFont="1" applyFill="1" applyBorder="1" applyAlignment="1" applyProtection="1">
      <alignment horizontal="center" vertical="center"/>
    </xf>
    <xf numFmtId="166" fontId="36" fillId="5" borderId="11" xfId="0" applyNumberFormat="1" applyFont="1" applyFill="1" applyBorder="1" applyAlignment="1" applyProtection="1">
      <alignment horizontal="center" vertical="center"/>
    </xf>
    <xf numFmtId="166" fontId="36" fillId="8" borderId="12" xfId="0" applyNumberFormat="1" applyFont="1" applyFill="1" applyBorder="1" applyAlignment="1" applyProtection="1">
      <alignment horizontal="center" vertical="center"/>
    </xf>
    <xf numFmtId="165" fontId="40" fillId="0" borderId="13" xfId="0" applyNumberFormat="1" applyFont="1" applyBorder="1" applyAlignment="1" applyProtection="1">
      <alignment horizontal="right"/>
    </xf>
    <xf numFmtId="165" fontId="41" fillId="0" borderId="10" xfId="0" applyNumberFormat="1" applyFont="1" applyBorder="1" applyAlignment="1" applyProtection="1">
      <alignment horizontal="right"/>
    </xf>
    <xf numFmtId="165" fontId="42" fillId="0" borderId="14" xfId="0" applyNumberFormat="1" applyFont="1" applyBorder="1" applyAlignment="1" applyProtection="1">
      <alignment horizontal="right"/>
    </xf>
    <xf numFmtId="165" fontId="40" fillId="0" borderId="15" xfId="0" applyNumberFormat="1" applyFont="1" applyBorder="1" applyAlignment="1" applyProtection="1">
      <alignment horizontal="right"/>
    </xf>
    <xf numFmtId="165" fontId="41" fillId="0" borderId="16" xfId="0" applyNumberFormat="1" applyFont="1" applyBorder="1" applyAlignment="1" applyProtection="1">
      <alignment horizontal="right"/>
    </xf>
    <xf numFmtId="165" fontId="42" fillId="0" borderId="17" xfId="0" applyNumberFormat="1" applyFont="1" applyBorder="1" applyAlignment="1" applyProtection="1">
      <alignment horizontal="right"/>
    </xf>
    <xf numFmtId="165" fontId="1" fillId="0" borderId="2" xfId="0" applyNumberFormat="1" applyFont="1" applyBorder="1" applyAlignment="1" applyProtection="1">
      <alignment horizontal="right"/>
    </xf>
    <xf numFmtId="49" fontId="29" fillId="0" borderId="20" xfId="0" applyNumberFormat="1" applyFont="1" applyBorder="1" applyAlignment="1" applyProtection="1">
      <alignment horizontal="right"/>
    </xf>
    <xf numFmtId="49" fontId="35" fillId="3" borderId="19" xfId="0" applyNumberFormat="1" applyFont="1" applyFill="1" applyBorder="1" applyAlignment="1" applyProtection="1">
      <alignment horizontal="center" vertical="center"/>
    </xf>
    <xf numFmtId="166" fontId="36" fillId="5" borderId="19" xfId="0" applyNumberFormat="1" applyFont="1" applyFill="1" applyBorder="1" applyAlignment="1" applyProtection="1">
      <alignment horizontal="center" vertical="center"/>
    </xf>
    <xf numFmtId="166" fontId="36" fillId="8" borderId="21" xfId="0" applyNumberFormat="1" applyFont="1" applyFill="1" applyBorder="1" applyAlignment="1" applyProtection="1">
      <alignment horizontal="center" vertical="center"/>
    </xf>
    <xf numFmtId="165" fontId="40" fillId="0" borderId="22" xfId="0" applyNumberFormat="1" applyFont="1" applyBorder="1" applyAlignment="1" applyProtection="1">
      <alignment horizontal="right"/>
    </xf>
    <xf numFmtId="165" fontId="41" fillId="0" borderId="19" xfId="0" applyNumberFormat="1" applyFont="1" applyBorder="1" applyAlignment="1" applyProtection="1">
      <alignment horizontal="right"/>
    </xf>
    <xf numFmtId="165" fontId="42" fillId="0" borderId="23" xfId="0" applyNumberFormat="1" applyFont="1" applyBorder="1" applyAlignment="1" applyProtection="1">
      <alignment horizontal="right"/>
    </xf>
    <xf numFmtId="49" fontId="29" fillId="0" borderId="3" xfId="0" applyNumberFormat="1" applyFont="1" applyBorder="1" applyAlignment="1" applyProtection="1">
      <alignment horizontal="right"/>
    </xf>
    <xf numFmtId="49" fontId="29" fillId="0" borderId="1" xfId="0" applyNumberFormat="1" applyFont="1" applyBorder="1" applyAlignment="1" applyProtection="1">
      <alignment horizontal="right"/>
    </xf>
    <xf numFmtId="167" fontId="31" fillId="0" borderId="1" xfId="0" applyNumberFormat="1" applyFont="1" applyBorder="1" applyAlignment="1" applyProtection="1">
      <alignment horizontal="center"/>
    </xf>
    <xf numFmtId="49" fontId="32" fillId="0" borderId="1" xfId="0" applyNumberFormat="1" applyFont="1" applyBorder="1" applyAlignment="1" applyProtection="1">
      <alignment horizontal="center" vertical="center"/>
    </xf>
    <xf numFmtId="166" fontId="1" fillId="0" borderId="3" xfId="0" applyNumberFormat="1" applyFont="1" applyBorder="1" applyAlignment="1" applyProtection="1">
      <alignment horizontal="center" vertical="center"/>
    </xf>
    <xf numFmtId="165" fontId="1" fillId="0" borderId="3" xfId="0" applyNumberFormat="1" applyFont="1" applyBorder="1" applyAlignment="1" applyProtection="1">
      <alignment horizontal="right"/>
    </xf>
    <xf numFmtId="166" fontId="1" fillId="0" borderId="1" xfId="0" applyNumberFormat="1" applyFont="1" applyBorder="1" applyAlignment="1" applyProtection="1">
      <alignment horizontal="center" vertical="center"/>
    </xf>
    <xf numFmtId="167" fontId="31" fillId="0" borderId="3" xfId="0" applyNumberFormat="1" applyFont="1" applyBorder="1" applyAlignment="1" applyProtection="1">
      <alignment horizontal="center"/>
    </xf>
    <xf numFmtId="49" fontId="32" fillId="0" borderId="3" xfId="0" applyNumberFormat="1" applyFont="1" applyBorder="1" applyAlignment="1" applyProtection="1">
      <alignment horizontal="center" vertical="center"/>
    </xf>
    <xf numFmtId="167" fontId="34" fillId="0" borderId="20" xfId="0" applyNumberFormat="1" applyFont="1" applyFill="1" applyBorder="1" applyAlignment="1" applyProtection="1">
      <alignment horizontal="left"/>
    </xf>
    <xf numFmtId="167" fontId="34" fillId="0" borderId="3" xfId="0" applyNumberFormat="1" applyFont="1" applyFill="1" applyBorder="1" applyAlignment="1" applyProtection="1">
      <alignment horizontal="left"/>
    </xf>
    <xf numFmtId="49" fontId="35" fillId="3" borderId="25" xfId="0" applyNumberFormat="1" applyFont="1" applyFill="1" applyBorder="1" applyAlignment="1" applyProtection="1">
      <alignment horizontal="center" vertical="center"/>
    </xf>
    <xf numFmtId="166" fontId="36" fillId="5" borderId="25" xfId="0" applyNumberFormat="1" applyFont="1" applyFill="1" applyBorder="1" applyAlignment="1" applyProtection="1">
      <alignment horizontal="center" vertical="center"/>
    </xf>
    <xf numFmtId="166" fontId="36" fillId="8" borderId="26" xfId="0" applyNumberFormat="1" applyFont="1" applyFill="1" applyBorder="1" applyAlignment="1" applyProtection="1">
      <alignment horizontal="center" vertical="center"/>
    </xf>
    <xf numFmtId="165" fontId="40" fillId="0" borderId="24" xfId="0" applyNumberFormat="1" applyFont="1" applyBorder="1" applyAlignment="1" applyProtection="1">
      <alignment horizontal="right"/>
    </xf>
    <xf numFmtId="165" fontId="41" fillId="0" borderId="25" xfId="0" applyNumberFormat="1" applyFont="1" applyBorder="1" applyAlignment="1" applyProtection="1">
      <alignment horizontal="right"/>
    </xf>
    <xf numFmtId="165" fontId="42" fillId="0" borderId="27" xfId="0" applyNumberFormat="1" applyFont="1" applyBorder="1" applyAlignment="1" applyProtection="1">
      <alignment horizontal="right"/>
    </xf>
    <xf numFmtId="49" fontId="12" fillId="4" borderId="6" xfId="0" applyNumberFormat="1" applyFont="1" applyFill="1" applyBorder="1" applyAlignment="1" applyProtection="1">
      <alignment horizontal="center" vertical="center"/>
    </xf>
    <xf numFmtId="0" fontId="8" fillId="6" borderId="18" xfId="0" applyFont="1" applyFill="1" applyBorder="1" applyAlignment="1" applyProtection="1">
      <alignment horizontal="center"/>
    </xf>
    <xf numFmtId="167" fontId="12" fillId="4" borderId="6" xfId="0" applyNumberFormat="1" applyFont="1" applyFill="1" applyBorder="1" applyAlignment="1" applyProtection="1">
      <alignment horizontal="center" vertical="center"/>
    </xf>
    <xf numFmtId="164" fontId="13" fillId="7" borderId="18" xfId="0" applyNumberFormat="1" applyFont="1" applyFill="1" applyBorder="1" applyAlignment="1" applyProtection="1">
      <alignment horizontal="center" vertical="center"/>
    </xf>
    <xf numFmtId="164" fontId="13" fillId="7" borderId="7" xfId="0" applyNumberFormat="1" applyFont="1" applyFill="1" applyBorder="1" applyAlignment="1" applyProtection="1">
      <alignment horizontal="center" vertical="center"/>
    </xf>
    <xf numFmtId="164" fontId="15" fillId="7" borderId="18" xfId="0" applyNumberFormat="1" applyFont="1" applyFill="1" applyBorder="1" applyAlignment="1" applyProtection="1">
      <alignment horizontal="center" vertical="center"/>
    </xf>
    <xf numFmtId="164" fontId="15" fillId="7" borderId="7" xfId="0" applyNumberFormat="1" applyFont="1" applyFill="1" applyBorder="1" applyAlignment="1" applyProtection="1">
      <alignment horizontal="center" vertical="center"/>
    </xf>
  </cellXfs>
  <cellStyles count="1">
    <cellStyle name="Normálna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</dxf>
    <dxf>
      <fill>
        <patternFill patternType="solid">
          <fgColor rgb="FFFF0000"/>
          <bgColor indexed="65"/>
        </patternFill>
      </fill>
    </dxf>
  </dxfs>
  <tableStyles count="0" defaultTableStyle="TableStyleMedium2" defaultPivotStyle="PivotStyleLight16"/>
  <colors>
    <mruColors>
      <color rgb="FFFEFFCD"/>
      <color rgb="FFCEEAB0"/>
      <color rgb="FFE5ECF7"/>
      <color rgb="FFD2ECB6"/>
      <color rgb="FFDCE5F4"/>
      <color rgb="FFA8E686"/>
      <color rgb="FFC2E49C"/>
      <color rgb="FFD3DEF1"/>
      <color rgb="FFCAD7EE"/>
      <color rgb="FFE5F4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4" Type="http://schemas.openxmlformats.org/officeDocument/2006/relationships/image" Target="../media/image17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1000125</xdr:colOff>
      <xdr:row>1</xdr:row>
      <xdr:rowOff>104775</xdr:rowOff>
    </xdr:from>
    <xdr:to>
      <xdr:col>1</xdr:col>
      <xdr:colOff>1362074</xdr:colOff>
      <xdr:row>2</xdr:row>
      <xdr:rowOff>247649</xdr:rowOff>
    </xdr:to>
    <xdr:pic macro="[0]!Harok1.Strom">
      <xdr:nvPicPr>
        <xdr:cNvPr id="5" name="Strom" descr="Ihličnatý strom">
          <a:extLst>
            <a:ext uri="{FF2B5EF4-FFF2-40B4-BE49-F238E27FC236}">
              <a16:creationId xmlns:a16="http://schemas.microsoft.com/office/drawing/2014/main" id="{68057131-168D-46F1-BC67-660941260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0125" y="295275"/>
          <a:ext cx="361949" cy="361949"/>
        </a:xfrm>
        <a:prstGeom prst="rect">
          <a:avLst/>
        </a:prstGeom>
      </xdr:spPr>
    </xdr:pic>
    <xdr:clientData/>
  </xdr:twoCellAnchor>
  <xdr:twoCellAnchor editAs="oneCell">
    <xdr:from>
      <xdr:col>1</xdr:col>
      <xdr:colOff>1400175</xdr:colOff>
      <xdr:row>1</xdr:row>
      <xdr:rowOff>209550</xdr:rowOff>
    </xdr:from>
    <xdr:to>
      <xdr:col>1</xdr:col>
      <xdr:colOff>1676400</xdr:colOff>
      <xdr:row>2</xdr:row>
      <xdr:rowOff>266700</xdr:rowOff>
    </xdr:to>
    <xdr:pic macro="[0]!Harok1.Zamok">
      <xdr:nvPicPr>
        <xdr:cNvPr id="24" name="Zamok" descr="Odomknutie">
          <a:extLst>
            <a:ext uri="{FF2B5EF4-FFF2-40B4-BE49-F238E27FC236}">
              <a16:creationId xmlns:a16="http://schemas.microsoft.com/office/drawing/2014/main" id="{8AAC8474-1991-4F35-99D6-389F9D2B8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0175" y="400050"/>
          <a:ext cx="276225" cy="276225"/>
        </a:xfrm>
        <a:prstGeom prst="rect">
          <a:avLst/>
        </a:prstGeom>
      </xdr:spPr>
    </xdr:pic>
    <xdr:clientData/>
  </xdr:twoCellAnchor>
  <xdr:twoCellAnchor editAs="oneCell">
    <xdr:from>
      <xdr:col>1</xdr:col>
      <xdr:colOff>1333501</xdr:colOff>
      <xdr:row>0</xdr:row>
      <xdr:rowOff>0</xdr:rowOff>
    </xdr:from>
    <xdr:to>
      <xdr:col>2</xdr:col>
      <xdr:colOff>0</xdr:colOff>
      <xdr:row>1</xdr:row>
      <xdr:rowOff>180974</xdr:rowOff>
    </xdr:to>
    <xdr:pic macro="[0]!Harok1.pocasie">
      <xdr:nvPicPr>
        <xdr:cNvPr id="26" name="Mrak" descr="Blýskanie" hidden="1">
          <a:extLst>
            <a:ext uri="{FF2B5EF4-FFF2-40B4-BE49-F238E27FC236}">
              <a16:creationId xmlns:a16="http://schemas.microsoft.com/office/drawing/2014/main" id="{9FA26C8A-37D6-4B60-8765-D3049555C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3501" y="0"/>
          <a:ext cx="409574" cy="371474"/>
        </a:xfrm>
        <a:prstGeom prst="rect">
          <a:avLst/>
        </a:prstGeom>
      </xdr:spPr>
    </xdr:pic>
    <xdr:clientData/>
  </xdr:twoCellAnchor>
  <xdr:twoCellAnchor editAs="oneCell">
    <xdr:from>
      <xdr:col>1</xdr:col>
      <xdr:colOff>1352550</xdr:colOff>
      <xdr:row>0</xdr:row>
      <xdr:rowOff>0</xdr:rowOff>
    </xdr:from>
    <xdr:to>
      <xdr:col>1</xdr:col>
      <xdr:colOff>1724025</xdr:colOff>
      <xdr:row>1</xdr:row>
      <xdr:rowOff>180975</xdr:rowOff>
    </xdr:to>
    <xdr:pic macro="[0]!Harok1.pocasie">
      <xdr:nvPicPr>
        <xdr:cNvPr id="30" name="Slnko" descr="Slnko">
          <a:extLst>
            <a:ext uri="{FF2B5EF4-FFF2-40B4-BE49-F238E27FC236}">
              <a16:creationId xmlns:a16="http://schemas.microsoft.com/office/drawing/2014/main" id="{393B58E8-7213-4A1C-9100-DB6D1CB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52550" y="0"/>
          <a:ext cx="371475" cy="371475"/>
        </a:xfrm>
        <a:prstGeom prst="rect">
          <a:avLst/>
        </a:prstGeom>
      </xdr:spPr>
    </xdr:pic>
    <xdr:clientData/>
  </xdr:twoCellAnchor>
  <xdr:twoCellAnchor editAs="oneCell">
    <xdr:from>
      <xdr:col>1</xdr:col>
      <xdr:colOff>152399</xdr:colOff>
      <xdr:row>1</xdr:row>
      <xdr:rowOff>85725</xdr:rowOff>
    </xdr:from>
    <xdr:to>
      <xdr:col>1</xdr:col>
      <xdr:colOff>447675</xdr:colOff>
      <xdr:row>2</xdr:row>
      <xdr:rowOff>244604</xdr:rowOff>
    </xdr:to>
    <xdr:pic macro="[0]!Harok1.Zaznam">
      <xdr:nvPicPr>
        <xdr:cNvPr id="12" name="Faktura" descr="lablalbalab" title="jahdgffg">
          <a:extLst>
            <a:ext uri="{FF2B5EF4-FFF2-40B4-BE49-F238E27FC236}">
              <a16:creationId xmlns:a16="http://schemas.microsoft.com/office/drawing/2014/main" id="{FBCC870D-B547-4604-BBD0-E6FDA006A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399" y="276225"/>
          <a:ext cx="295276" cy="377954"/>
        </a:xfrm>
        <a:prstGeom prst="rect">
          <a:avLst/>
        </a:prstGeom>
      </xdr:spPr>
    </xdr:pic>
    <xdr:clientData/>
  </xdr:twoCellAnchor>
  <xdr:twoCellAnchor editAs="oneCell">
    <xdr:from>
      <xdr:col>1</xdr:col>
      <xdr:colOff>552450</xdr:colOff>
      <xdr:row>1</xdr:row>
      <xdr:rowOff>171451</xdr:rowOff>
    </xdr:from>
    <xdr:to>
      <xdr:col>1</xdr:col>
      <xdr:colOff>923925</xdr:colOff>
      <xdr:row>3</xdr:row>
      <xdr:rowOff>19050</xdr:rowOff>
    </xdr:to>
    <xdr:pic macro="[0]!Harok1.pes">
      <xdr:nvPicPr>
        <xdr:cNvPr id="6" name="Pes" descr="Dog">
          <a:extLst>
            <a:ext uri="{FF2B5EF4-FFF2-40B4-BE49-F238E27FC236}">
              <a16:creationId xmlns:a16="http://schemas.microsoft.com/office/drawing/2014/main" id="{77D95EE8-D26C-41D1-89E4-4D53311E34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552450" y="361951"/>
          <a:ext cx="371475" cy="361949"/>
        </a:xfrm>
        <a:prstGeom prst="rect">
          <a:avLst/>
        </a:prstGeom>
      </xdr:spPr>
    </xdr:pic>
    <xdr:clientData/>
  </xdr:twoCellAnchor>
  <xdr:twoCellAnchor editAs="oneCell">
    <xdr:from>
      <xdr:col>1</xdr:col>
      <xdr:colOff>1314450</xdr:colOff>
      <xdr:row>0</xdr:row>
      <xdr:rowOff>0</xdr:rowOff>
    </xdr:from>
    <xdr:to>
      <xdr:col>2</xdr:col>
      <xdr:colOff>19050</xdr:colOff>
      <xdr:row>2</xdr:row>
      <xdr:rowOff>0</xdr:rowOff>
    </xdr:to>
    <xdr:pic macro="[0]!Harok1.pocasie">
      <xdr:nvPicPr>
        <xdr:cNvPr id="10" name="Dazd" descr="Rain" hidden="1">
          <a:extLst>
            <a:ext uri="{FF2B5EF4-FFF2-40B4-BE49-F238E27FC236}">
              <a16:creationId xmlns:a16="http://schemas.microsoft.com/office/drawing/2014/main" id="{96BF5DF2-F01A-49F5-BD4C-9DF0ED5DB7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314450" y="0"/>
          <a:ext cx="447675" cy="411861"/>
        </a:xfrm>
        <a:prstGeom prst="rect">
          <a:avLst/>
        </a:prstGeom>
      </xdr:spPr>
    </xdr:pic>
    <xdr:clientData/>
  </xdr:twoCellAnchor>
  <xdr:oneCellAnchor>
    <xdr:from>
      <xdr:col>0</xdr:col>
      <xdr:colOff>1314450</xdr:colOff>
      <xdr:row>0</xdr:row>
      <xdr:rowOff>0</xdr:rowOff>
    </xdr:from>
    <xdr:ext cx="447675" cy="411861"/>
    <xdr:pic macro="[0]!Harok1.pocasie">
      <xdr:nvPicPr>
        <xdr:cNvPr id="17" name="Dazd" descr="Rain" hidden="1">
          <a:extLst>
            <a:ext uri="{FF2B5EF4-FFF2-40B4-BE49-F238E27FC236}">
              <a16:creationId xmlns:a16="http://schemas.microsoft.com/office/drawing/2014/main" id="{CD54CC07-BC5B-465D-8C20-B346936EF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2619375" y="0"/>
          <a:ext cx="447675" cy="411861"/>
        </a:xfrm>
        <a:prstGeom prst="rect">
          <a:avLst/>
        </a:prstGeom>
      </xdr:spPr>
    </xdr:pic>
    <xdr:clientData/>
  </xdr:oneCellAnchor>
  <xdr:twoCellAnchor>
    <xdr:from>
      <xdr:col>0</xdr:col>
      <xdr:colOff>219075</xdr:colOff>
      <xdr:row>2</xdr:row>
      <xdr:rowOff>28575</xdr:rowOff>
    </xdr:from>
    <xdr:to>
      <xdr:col>0</xdr:col>
      <xdr:colOff>733425</xdr:colOff>
      <xdr:row>2</xdr:row>
      <xdr:rowOff>257175</xdr:rowOff>
    </xdr:to>
    <xdr:sp macro="[0]!Harok1.Novyrok_click" textlink="">
      <xdr:nvSpPr>
        <xdr:cNvPr id="2" name="Obdĺžnik 1">
          <a:extLst>
            <a:ext uri="{FF2B5EF4-FFF2-40B4-BE49-F238E27FC236}">
              <a16:creationId xmlns:a16="http://schemas.microsoft.com/office/drawing/2014/main" id="{2175B668-AA15-4DC7-A352-7A08EC10B6CA}"/>
            </a:ext>
          </a:extLst>
        </xdr:cNvPr>
        <xdr:cNvSpPr/>
      </xdr:nvSpPr>
      <xdr:spPr>
        <a:xfrm>
          <a:off x="219075" y="438150"/>
          <a:ext cx="514350" cy="2286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k-SK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600075</xdr:colOff>
      <xdr:row>2</xdr:row>
      <xdr:rowOff>66675</xdr:rowOff>
    </xdr:from>
    <xdr:ext cx="345300" cy="345300"/>
    <xdr:pic>
      <xdr:nvPicPr>
        <xdr:cNvPr id="2" name="Grafický objekt 1" descr="Listnatý strom">
          <a:extLst>
            <a:ext uri="{FF2B5EF4-FFF2-40B4-BE49-F238E27FC236}">
              <a16:creationId xmlns:a16="http://schemas.microsoft.com/office/drawing/2014/main" id="{0087036A-6065-4F95-899E-95F8A4433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019425" y="495300"/>
          <a:ext cx="345300" cy="345300"/>
        </a:xfrm>
        <a:prstGeom prst="rect">
          <a:avLst/>
        </a:prstGeom>
      </xdr:spPr>
    </xdr:pic>
    <xdr:clientData/>
  </xdr:oneCellAnchor>
  <xdr:oneCellAnchor>
    <xdr:from>
      <xdr:col>5</xdr:col>
      <xdr:colOff>559575</xdr:colOff>
      <xdr:row>2</xdr:row>
      <xdr:rowOff>66675</xdr:rowOff>
    </xdr:from>
    <xdr:ext cx="345300" cy="345300"/>
    <xdr:pic>
      <xdr:nvPicPr>
        <xdr:cNvPr id="3" name="Grafický objekt 2" descr="Ihličnatý strom">
          <a:extLst>
            <a:ext uri="{FF2B5EF4-FFF2-40B4-BE49-F238E27FC236}">
              <a16:creationId xmlns:a16="http://schemas.microsoft.com/office/drawing/2014/main" id="{CB9BE196-5F67-493B-9EC3-50C9620F5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7350" y="495300"/>
          <a:ext cx="345300" cy="3453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arok1"/>
  <dimension ref="A1:O27"/>
  <sheetViews>
    <sheetView tabSelected="1" zoomScaleNormal="100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B7" sqref="B7"/>
    </sheetView>
  </sheetViews>
  <sheetFormatPr defaultRowHeight="15" x14ac:dyDescent="0.25"/>
  <cols>
    <col min="1" max="1" width="14.28515625" style="40" customWidth="1"/>
    <col min="2" max="2" width="26.140625" style="41" customWidth="1"/>
    <col min="3" max="3" width="29.140625" style="42" customWidth="1"/>
    <col min="4" max="4" width="18.5703125" style="45" bestFit="1" customWidth="1"/>
    <col min="5" max="5" width="18.85546875" style="45" bestFit="1" customWidth="1"/>
    <col min="6" max="7" width="12.5703125" style="19" bestFit="1" customWidth="1"/>
    <col min="8" max="8" width="14.5703125" style="19" bestFit="1" customWidth="1"/>
    <col min="9" max="10" width="12.5703125" style="19" customWidth="1"/>
    <col min="11" max="11" width="14.5703125" style="19" customWidth="1"/>
    <col min="12" max="13" width="12.5703125" style="19" bestFit="1" customWidth="1"/>
    <col min="14" max="14" width="14.5703125" style="19" bestFit="1" customWidth="1"/>
    <col min="15" max="16384" width="9.140625" style="19"/>
  </cols>
  <sheetData>
    <row r="1" spans="1:15" s="7" customFormat="1" ht="15" customHeight="1" x14ac:dyDescent="0.25">
      <c r="A1" s="56" t="s">
        <v>8</v>
      </c>
      <c r="B1" s="58" t="s">
        <v>0</v>
      </c>
      <c r="C1" s="56" t="s">
        <v>1</v>
      </c>
      <c r="D1" s="59" t="s">
        <v>12</v>
      </c>
      <c r="E1" s="61" t="s">
        <v>13</v>
      </c>
      <c r="F1" s="57" t="s">
        <v>4</v>
      </c>
      <c r="G1" s="57"/>
      <c r="H1" s="57"/>
      <c r="I1" s="57" t="s">
        <v>6</v>
      </c>
      <c r="J1" s="57"/>
      <c r="K1" s="57"/>
      <c r="L1" s="57" t="s">
        <v>7</v>
      </c>
      <c r="M1" s="57"/>
      <c r="N1" s="57"/>
    </row>
    <row r="2" spans="1:15" s="7" customFormat="1" ht="17.25" customHeight="1" x14ac:dyDescent="0.25">
      <c r="A2" s="56"/>
      <c r="B2" s="58"/>
      <c r="C2" s="56"/>
      <c r="D2" s="60"/>
      <c r="E2" s="62"/>
      <c r="F2" s="8" t="s">
        <v>14</v>
      </c>
      <c r="G2" s="9" t="s">
        <v>15</v>
      </c>
      <c r="H2" s="10" t="s">
        <v>16</v>
      </c>
      <c r="I2" s="8" t="s">
        <v>14</v>
      </c>
      <c r="J2" s="9" t="s">
        <v>15</v>
      </c>
      <c r="K2" s="10" t="s">
        <v>16</v>
      </c>
      <c r="L2" s="8" t="s">
        <v>14</v>
      </c>
      <c r="M2" s="9" t="s">
        <v>15</v>
      </c>
      <c r="N2" s="10" t="s">
        <v>16</v>
      </c>
    </row>
    <row r="3" spans="1:15" ht="23.25" customHeight="1" thickBot="1" x14ac:dyDescent="0.4">
      <c r="A3" s="11" t="s">
        <v>17</v>
      </c>
      <c r="B3" s="12"/>
      <c r="C3" s="13" t="s">
        <v>3</v>
      </c>
      <c r="D3" s="14">
        <f>ROUND(SUM($D$4:$D$6), 2)</f>
        <v>45</v>
      </c>
      <c r="E3" s="15">
        <f>ROUND(SUM($E$4:$E$6), 2)</f>
        <v>488.56</v>
      </c>
      <c r="F3" s="16">
        <f>ROUND(SUM($F$4:$F$6), 2)</f>
        <v>15</v>
      </c>
      <c r="G3" s="17">
        <f>ROUND(SUM($G$4:$G$6), 2)</f>
        <v>16.5</v>
      </c>
      <c r="H3" s="18">
        <f>$H$6</f>
        <v>-1.5</v>
      </c>
      <c r="I3" s="16">
        <f>ROUND(SUM($I$4:$I$6), 2)</f>
        <v>0</v>
      </c>
      <c r="J3" s="17">
        <f>ROUND(SUM($J$4:$J$6), 2)</f>
        <v>15.23</v>
      </c>
      <c r="K3" s="18">
        <f>$K$6</f>
        <v>-15.23</v>
      </c>
      <c r="L3" s="16">
        <f>ROUND(SUM($L$4:$L$6), 2)</f>
        <v>0</v>
      </c>
      <c r="M3" s="17">
        <f>ROUND(SUM($M$4:$M$6), 2)</f>
        <v>0</v>
      </c>
      <c r="N3" s="18">
        <f>$N$6</f>
        <v>0</v>
      </c>
    </row>
    <row r="4" spans="1:15" ht="15.75" customHeight="1" thickBot="1" x14ac:dyDescent="0.3">
      <c r="A4" s="20"/>
      <c r="B4" s="21" t="s">
        <v>2</v>
      </c>
      <c r="C4" s="22" t="s">
        <v>5</v>
      </c>
      <c r="D4" s="23">
        <v>0</v>
      </c>
      <c r="E4" s="24"/>
      <c r="F4" s="25"/>
      <c r="G4" s="26"/>
      <c r="H4" s="27"/>
      <c r="I4" s="28"/>
      <c r="J4" s="29"/>
      <c r="K4" s="30"/>
      <c r="L4" s="28"/>
      <c r="M4" s="29"/>
      <c r="N4" s="30"/>
      <c r="O4" s="31"/>
    </row>
    <row r="5" spans="1:15" ht="15.75" thickTop="1" x14ac:dyDescent="0.25">
      <c r="A5" s="32" t="s">
        <v>19</v>
      </c>
      <c r="B5" s="48">
        <v>43873</v>
      </c>
      <c r="C5" s="33" t="s">
        <v>18</v>
      </c>
      <c r="D5" s="34">
        <v>45</v>
      </c>
      <c r="E5" s="35"/>
      <c r="F5" s="36">
        <v>15</v>
      </c>
      <c r="G5" s="37"/>
      <c r="H5" s="38">
        <f>ROUND(F5-G5+H4, 2)</f>
        <v>15</v>
      </c>
      <c r="I5" s="36"/>
      <c r="J5" s="37"/>
      <c r="K5" s="38">
        <f>ROUND(I5-J5+K4, 2)</f>
        <v>0</v>
      </c>
      <c r="L5" s="36"/>
      <c r="M5" s="37"/>
      <c r="N5" s="38">
        <f>ROUND(L5-M5+N4, 2)</f>
        <v>0</v>
      </c>
      <c r="O5" s="31"/>
    </row>
    <row r="6" spans="1:15" x14ac:dyDescent="0.25">
      <c r="A6" s="39" t="s">
        <v>20</v>
      </c>
      <c r="B6" s="49">
        <v>43874</v>
      </c>
      <c r="C6" s="50" t="s">
        <v>21</v>
      </c>
      <c r="D6" s="51"/>
      <c r="E6" s="52">
        <v>488.56</v>
      </c>
      <c r="F6" s="53"/>
      <c r="G6" s="54">
        <v>16.5</v>
      </c>
      <c r="H6" s="55">
        <f>ROUND(F6-G6+H5, 2)</f>
        <v>-1.5</v>
      </c>
      <c r="I6" s="53"/>
      <c r="J6" s="54">
        <v>15.23</v>
      </c>
      <c r="K6" s="55">
        <f>ROUND(I6-J6+K5, 2)</f>
        <v>-15.23</v>
      </c>
      <c r="L6" s="53"/>
      <c r="M6" s="54"/>
      <c r="N6" s="55">
        <f>ROUND(L6-M6+N5, 2)</f>
        <v>0</v>
      </c>
      <c r="O6" s="31"/>
    </row>
    <row r="7" spans="1:15" x14ac:dyDescent="0.25">
      <c r="D7" s="43"/>
      <c r="E7" s="43"/>
      <c r="H7" s="44"/>
      <c r="K7" s="44"/>
      <c r="N7" s="44"/>
    </row>
    <row r="27" spans="1:14" x14ac:dyDescent="0.25">
      <c r="A27" s="39"/>
      <c r="B27" s="46"/>
      <c r="C27" s="47"/>
      <c r="D27" s="43"/>
      <c r="E27" s="43"/>
      <c r="F27" s="44"/>
      <c r="G27" s="44"/>
      <c r="H27" s="44"/>
      <c r="I27" s="44"/>
      <c r="J27" s="44"/>
      <c r="K27" s="44"/>
      <c r="L27" s="44"/>
      <c r="M27" s="44"/>
      <c r="N27" s="44"/>
    </row>
  </sheetData>
  <autoFilter ref="A1:K4" xr:uid="{C3C82190-3973-49E7-B284-DA641498CFF3}">
    <filterColumn colId="5" showButton="0"/>
    <filterColumn colId="6" showButton="0"/>
    <filterColumn colId="8" showButton="0"/>
    <filterColumn colId="9" showButton="0"/>
  </autoFilter>
  <sortState xmlns:xlrd2="http://schemas.microsoft.com/office/spreadsheetml/2017/richdata2" ref="A5:N6">
    <sortCondition descending="1" sortBy="cellColor" ref="B5:B6" dxfId="1"/>
    <sortCondition descending="1" sortBy="fontColor" ref="B5:B6" dxfId="0"/>
    <sortCondition ref="B5:B6"/>
  </sortState>
  <dataConsolidate/>
  <mergeCells count="8">
    <mergeCell ref="L1:N1"/>
    <mergeCell ref="A1:A2"/>
    <mergeCell ref="I1:K1"/>
    <mergeCell ref="B1:B2"/>
    <mergeCell ref="C1:C2"/>
    <mergeCell ref="D1:D2"/>
    <mergeCell ref="E1:E2"/>
    <mergeCell ref="F1:H1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árok2"/>
  <dimension ref="A2:H6"/>
  <sheetViews>
    <sheetView workbookViewId="0">
      <selection activeCell="B12" sqref="B12"/>
    </sheetView>
  </sheetViews>
  <sheetFormatPr defaultRowHeight="15" x14ac:dyDescent="0.25"/>
  <cols>
    <col min="1" max="1" width="16" customWidth="1"/>
    <col min="2" max="2" width="20.28515625" customWidth="1"/>
    <col min="4" max="4" width="18.5703125" customWidth="1"/>
    <col min="5" max="5" width="11.85546875" customWidth="1"/>
    <col min="7" max="7" width="17.85546875" customWidth="1"/>
    <col min="8" max="8" width="12" customWidth="1"/>
  </cols>
  <sheetData>
    <row r="2" spans="1:8" ht="18.75" x14ac:dyDescent="0.3">
      <c r="A2" s="1" t="s">
        <v>9</v>
      </c>
      <c r="B2" s="2">
        <f>SUM($E$4:$H$4)</f>
        <v>-16.73</v>
      </c>
    </row>
    <row r="3" spans="1:8" ht="29.25" customHeight="1" x14ac:dyDescent="0.25"/>
    <row r="4" spans="1:8" x14ac:dyDescent="0.25">
      <c r="D4" s="3" t="s">
        <v>10</v>
      </c>
      <c r="E4" s="4">
        <f>SUM($E$5:$E$6)</f>
        <v>-15.23</v>
      </c>
      <c r="G4" s="5" t="s">
        <v>11</v>
      </c>
      <c r="H4" s="6">
        <f>SUM($H$5:$H$5)</f>
        <v>-1.5</v>
      </c>
    </row>
    <row r="5" spans="1:8" x14ac:dyDescent="0.25">
      <c r="D5" t="s">
        <v>6</v>
      </c>
      <c r="E5">
        <v>-15.23</v>
      </c>
      <c r="G5" t="s">
        <v>4</v>
      </c>
      <c r="H5">
        <v>-1.5</v>
      </c>
    </row>
    <row r="6" spans="1:8" x14ac:dyDescent="0.25">
      <c r="D6" t="s">
        <v>7</v>
      </c>
      <c r="E6">
        <v>0</v>
      </c>
    </row>
  </sheetData>
  <sheetProtection sheet="1" objects="1" scenarios="1"/>
  <pageMargins left="0.7" right="0.7" top="0.75" bottom="0.75" header="0.3" footer="0.3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2</vt:i4>
      </vt:variant>
    </vt:vector>
  </HeadingPairs>
  <TitlesOfParts>
    <vt:vector size="2" baseType="lpstr">
      <vt:lpstr>Sklad</vt:lpstr>
      <vt:lpstr>Zostatky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Vlado</cp:lastModifiedBy>
  <cp:lastPrinted>2019-03-08T15:42:56Z</cp:lastPrinted>
  <dcterms:created xsi:type="dcterms:W3CDTF">2017-02-12T08:32:44Z</dcterms:created>
  <dcterms:modified xsi:type="dcterms:W3CDTF">2019-11-25T13:52:08Z</dcterms:modified>
</cp:coreProperties>
</file>